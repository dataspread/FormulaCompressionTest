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tem\dataspread\FormulaCompressionTest\Chris\experiments-v2\"/>
    </mc:Choice>
  </mc:AlternateContent>
  <xr:revisionPtr revIDLastSave="0" documentId="13_ncr:1_{5AB6ECA0-768A-420F-AB62-1823F2AA11DE}" xr6:coauthVersionLast="47" xr6:coauthVersionMax="47" xr10:uidLastSave="{00000000-0000-0000-0000-000000000000}"/>
  <bookViews>
    <workbookView xWindow="-96" yWindow="-96" windowWidth="23232" windowHeight="12432" activeTab="6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7" l="1"/>
  <c r="E4" i="7"/>
  <c r="E5" i="7"/>
  <c r="E6" i="7"/>
  <c r="E7" i="7"/>
  <c r="E8" i="7"/>
  <c r="E9" i="7"/>
  <c r="E10" i="7"/>
  <c r="E11" i="7"/>
  <c r="E12" i="7"/>
  <c r="E13" i="7"/>
  <c r="E16" i="7"/>
  <c r="E17" i="7"/>
  <c r="E2" i="7"/>
</calcChain>
</file>

<file path=xl/sharedStrings.xml><?xml version="1.0" encoding="utf-8"?>
<sst xmlns="http://schemas.openxmlformats.org/spreadsheetml/2006/main" count="353" uniqueCount="145">
  <si>
    <t>rows</t>
  </si>
  <si>
    <t>time (ms)</t>
  </si>
  <si>
    <t>sheet</t>
  </si>
  <si>
    <t>run-total-fast</t>
  </si>
  <si>
    <t>run-total-slow</t>
  </si>
  <si>
    <t>rate</t>
  </si>
  <si>
    <t>operation</t>
  </si>
  <si>
    <t>precedents</t>
  </si>
  <si>
    <t>dependents</t>
  </si>
  <si>
    <t>book</t>
  </si>
  <si>
    <t>cell</t>
  </si>
  <si>
    <t>total time (ms)</t>
  </si>
  <si>
    <t>load time (ms)</t>
  </si>
  <si>
    <t>get dependents time (ms)</t>
  </si>
  <si>
    <t>update time (ms)</t>
  </si>
  <si>
    <t>benjamin_rogers_000_1_1.pst.39.xls</t>
  </si>
  <si>
    <t>Sheet1</t>
  </si>
  <si>
    <t>Z1</t>
  </si>
  <si>
    <t>kevin_ruscitti_000_1_1.pst.125.xls</t>
  </si>
  <si>
    <t>Phys Test</t>
  </si>
  <si>
    <t>E66</t>
  </si>
  <si>
    <t>john_lavorato_001_1_1_1.pst.94.xls</t>
  </si>
  <si>
    <t>CP Trade Data</t>
  </si>
  <si>
    <t>A4</t>
  </si>
  <si>
    <t>vkaminski_001_1_2_1.pst.62.xls</t>
  </si>
  <si>
    <t>5b. 7.3</t>
  </si>
  <si>
    <t>D9</t>
  </si>
  <si>
    <t>john_griffith_000_1_1.pst.185.xls</t>
  </si>
  <si>
    <t>MAIN</t>
  </si>
  <si>
    <t>S19</t>
  </si>
  <si>
    <t>kevin_presto_000_1_1.pst.16.xls</t>
  </si>
  <si>
    <t>matthew_lenhart_000_1_1.pst.23.xls</t>
  </si>
  <si>
    <t>Power Curve</t>
  </si>
  <si>
    <t>J4</t>
  </si>
  <si>
    <t>mike_grigsby_000_1_1_1.pst.108.xls</t>
  </si>
  <si>
    <t>matthew_lenhart_000_1_1.pst.20.xls</t>
  </si>
  <si>
    <t>phillip_allen_000_1_1.pst.253.xls</t>
  </si>
  <si>
    <t>matthew_lenhart_000_1_1.pst.19.xls</t>
  </si>
  <si>
    <t>mike_grigsby_000_1_1_1.pst.106.xls</t>
  </si>
  <si>
    <t>phillip_allen_000_1_1.pst.102.xls</t>
  </si>
  <si>
    <t>max dep num</t>
  </si>
  <si>
    <t>lynn_blair_000_1_1.pst.117.xls</t>
  </si>
  <si>
    <t>vkaminski_001_1_2_1.pst.61.xls</t>
  </si>
  <si>
    <t>vkaminski_000_1_1_1.pst.278.xls</t>
  </si>
  <si>
    <t>vkaminski_000_1_1_1.pst.288.xls</t>
  </si>
  <si>
    <t>vkaminski_000_1_1_1.pst.289.xls</t>
  </si>
  <si>
    <t>vkaminski_000_1_1_1.pst.313.xls</t>
  </si>
  <si>
    <t>kevin_ruscitti_000_1_1.pst.202.xls</t>
  </si>
  <si>
    <t>harry_arora_000_1_1.pst.130.xls</t>
  </si>
  <si>
    <t>jim_schwieger_000_1_1.pst.104.xls</t>
  </si>
  <si>
    <t>gstorey_000_1_1.pst.111.xls</t>
  </si>
  <si>
    <t>darron_c_giron_002_1_1_1.pst.163.xls</t>
  </si>
  <si>
    <t>F2</t>
  </si>
  <si>
    <t>Item 1 - PQ1TRANSW080101</t>
  </si>
  <si>
    <t>A6</t>
  </si>
  <si>
    <t xml:space="preserve">3a. GBM </t>
  </si>
  <si>
    <t>C7</t>
  </si>
  <si>
    <t>READDATA</t>
  </si>
  <si>
    <t>AD6</t>
  </si>
  <si>
    <t>Y6</t>
  </si>
  <si>
    <t>F15</t>
  </si>
  <si>
    <t>30-Yr Fixed</t>
  </si>
  <si>
    <t>C3</t>
  </si>
  <si>
    <t>WorkingData</t>
  </si>
  <si>
    <t>Q9</t>
  </si>
  <si>
    <t>AR17</t>
  </si>
  <si>
    <t>king 80-15-5</t>
  </si>
  <si>
    <t>E2</t>
  </si>
  <si>
    <t>G3</t>
  </si>
  <si>
    <t>N/A (password)</t>
  </si>
  <si>
    <t>N/A (sheet error)</t>
  </si>
  <si>
    <t>longest dep num</t>
  </si>
  <si>
    <t>Master-Calculations-Global-WASH-CBA_GLOBAL_PUBLIC_VERSION5.xlsx</t>
  </si>
  <si>
    <t>CALCULATIONS</t>
  </si>
  <si>
    <t>S82</t>
  </si>
  <si>
    <t>HotOcall_latencies_in_cycles.xlsx</t>
  </si>
  <si>
    <t>HotOcall_latencies_in_cycles</t>
  </si>
  <si>
    <t>B2</t>
  </si>
  <si>
    <t>Tio Cash Master 1600 1 seventh 0a in the neighborhood of.xlsx</t>
  </si>
  <si>
    <t>1602 fam07 0.142859 vertical</t>
  </si>
  <si>
    <t>C6</t>
  </si>
  <si>
    <t>测试-30000.xlsx</t>
  </si>
  <si>
    <t>beerDB05.02_10.11.xlsx</t>
  </si>
  <si>
    <t>beerDB05.02_10.11.csv</t>
  </si>
  <si>
    <t>R5820</t>
  </si>
  <si>
    <t>WM5603_LT_timeseries_normalization.xlsx</t>
  </si>
  <si>
    <t>WM3022_LT_timeseries_scaled</t>
  </si>
  <si>
    <t>D21917</t>
  </si>
  <si>
    <t>aero_test.xlsx</t>
  </si>
  <si>
    <t>Sheet2</t>
  </si>
  <si>
    <t>A8</t>
  </si>
  <si>
    <t>InputData.xlsx</t>
  </si>
  <si>
    <t>Sheet3</t>
  </si>
  <si>
    <t>Day6.xlsx</t>
  </si>
  <si>
    <t>p2</t>
  </si>
  <si>
    <t>AN2</t>
  </si>
  <si>
    <t>191001_선물데이터_1틱.xlsx</t>
  </si>
  <si>
    <t>datalog1.xlsx</t>
  </si>
  <si>
    <t>datalog1</t>
  </si>
  <si>
    <t>A2</t>
  </si>
  <si>
    <t>Took too long (over 8 hours)</t>
  </si>
  <si>
    <t>기록차이모음.xlsx</t>
  </si>
  <si>
    <t>Test13_100k_lines.xlsx</t>
  </si>
  <si>
    <t>big.xlsx</t>
  </si>
  <si>
    <t>A1</t>
  </si>
  <si>
    <t>knock_vertical.xlsx</t>
  </si>
  <si>
    <t>data</t>
  </si>
  <si>
    <t>J24</t>
  </si>
  <si>
    <t>地方政府债券整理-hs.xlsx</t>
  </si>
  <si>
    <t>calculs.xlsx</t>
  </si>
  <si>
    <t>이정인_퍼셉트론엑셀.xlsx</t>
  </si>
  <si>
    <t>B10</t>
  </si>
  <si>
    <t>풋매매_상방돌파</t>
  </si>
  <si>
    <t>D1</t>
  </si>
  <si>
    <t>A331</t>
  </si>
  <si>
    <t>Feuil1</t>
  </si>
  <si>
    <t>E9</t>
  </si>
  <si>
    <t>C1</t>
  </si>
  <si>
    <t>F3</t>
  </si>
  <si>
    <t>enron_max1.xls</t>
  </si>
  <si>
    <t>Test</t>
  </si>
  <si>
    <t>enron_max2.xls</t>
  </si>
  <si>
    <t>J5</t>
  </si>
  <si>
    <t>enron_max3.xls</t>
  </si>
  <si>
    <t>enron_max4.xls</t>
  </si>
  <si>
    <t>enron_max5.xls</t>
  </si>
  <si>
    <t>enron_long1.xls</t>
  </si>
  <si>
    <t>enron_long2.xls</t>
  </si>
  <si>
    <t>enron_long3.xls</t>
  </si>
  <si>
    <t>I7</t>
  </si>
  <si>
    <t>github_max1.xlsx</t>
  </si>
  <si>
    <t>github_max2.xlsx</t>
  </si>
  <si>
    <t>github_max3.xlsx</t>
  </si>
  <si>
    <t>github_max4.xlsx</t>
  </si>
  <si>
    <t>github_max5.xlsx</t>
  </si>
  <si>
    <t>github_long1.xlsx</t>
  </si>
  <si>
    <t>github_long2.xlsx</t>
  </si>
  <si>
    <t>github_long3.xlsx</t>
  </si>
  <si>
    <t>count</t>
  </si>
  <si>
    <t>D4</t>
  </si>
  <si>
    <t>B42</t>
  </si>
  <si>
    <t>RUN1</t>
  </si>
  <si>
    <t>RUN2</t>
  </si>
  <si>
    <t>RUN3</t>
  </si>
  <si>
    <t>DNF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</si>
</sst>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0"/>
  <sheetViews>
    <sheetView workbookViewId="0">
      <selection activeCell="G18" sqref="G18"/>
    </sheetView>
  </sheetViews>
  <sheetFormatPr defaultRowHeight="14.4" x14ac:dyDescent="0.55000000000000004"/>
  <cols>
    <col min="1" max="1" width="11.62890625" customWidth="1"/>
  </cols>
  <sheetData>
    <row r="1" spans="1:3" x14ac:dyDescent="0.55000000000000004">
      <c r="A1" t="s">
        <v>2</v>
      </c>
      <c r="B1" t="s">
        <v>0</v>
      </c>
      <c r="C1" t="s">
        <v>1</v>
      </c>
    </row>
    <row r="2" spans="1:3" x14ac:dyDescent="0.55000000000000004">
      <c r="A2" t="s">
        <v>3</v>
      </c>
      <c r="B2">
        <v>10</v>
      </c>
      <c r="C2">
        <v>797</v>
      </c>
    </row>
    <row r="3" spans="1:3" x14ac:dyDescent="0.55000000000000004">
      <c r="A3" t="s">
        <v>3</v>
      </c>
      <c r="B3">
        <v>100</v>
      </c>
      <c r="C3">
        <v>875</v>
      </c>
    </row>
    <row r="4" spans="1:3" x14ac:dyDescent="0.55000000000000004">
      <c r="A4" t="s">
        <v>3</v>
      </c>
      <c r="B4">
        <v>1000</v>
      </c>
      <c r="C4">
        <v>1750</v>
      </c>
    </row>
    <row r="5" spans="1:3" x14ac:dyDescent="0.55000000000000004">
      <c r="A5" t="s">
        <v>3</v>
      </c>
      <c r="B5">
        <v>10000</v>
      </c>
      <c r="C5">
        <v>9890</v>
      </c>
    </row>
    <row r="6" spans="1:3" x14ac:dyDescent="0.55000000000000004">
      <c r="A6" t="s">
        <v>3</v>
      </c>
      <c r="B6">
        <v>100000</v>
      </c>
      <c r="C6">
        <v>136500</v>
      </c>
    </row>
    <row r="7" spans="1:3" x14ac:dyDescent="0.55000000000000004">
      <c r="A7" t="s">
        <v>3</v>
      </c>
      <c r="B7">
        <v>200000</v>
      </c>
      <c r="C7">
        <v>365547</v>
      </c>
    </row>
    <row r="8" spans="1:3" x14ac:dyDescent="0.55000000000000004">
      <c r="A8" t="s">
        <v>3</v>
      </c>
      <c r="B8">
        <v>300000</v>
      </c>
      <c r="C8">
        <v>645375</v>
      </c>
    </row>
    <row r="9" spans="1:3" x14ac:dyDescent="0.55000000000000004">
      <c r="A9" t="s">
        <v>3</v>
      </c>
      <c r="B9">
        <v>400000</v>
      </c>
      <c r="C9">
        <v>1023625</v>
      </c>
    </row>
    <row r="10" spans="1:3" x14ac:dyDescent="0.55000000000000004">
      <c r="A10" t="s">
        <v>3</v>
      </c>
      <c r="B10">
        <v>500000</v>
      </c>
      <c r="C10">
        <v>1644219</v>
      </c>
    </row>
    <row r="11" spans="1:3" x14ac:dyDescent="0.55000000000000004">
      <c r="A11" t="s">
        <v>4</v>
      </c>
      <c r="B11">
        <v>10</v>
      </c>
      <c r="C11">
        <v>860</v>
      </c>
    </row>
    <row r="12" spans="1:3" x14ac:dyDescent="0.55000000000000004">
      <c r="A12" t="s">
        <v>4</v>
      </c>
      <c r="B12">
        <v>100</v>
      </c>
      <c r="C12">
        <v>938</v>
      </c>
    </row>
    <row r="13" spans="1:3" x14ac:dyDescent="0.55000000000000004">
      <c r="A13" t="s">
        <v>4</v>
      </c>
      <c r="B13">
        <v>1000</v>
      </c>
      <c r="C13">
        <v>1813</v>
      </c>
    </row>
    <row r="14" spans="1:3" x14ac:dyDescent="0.55000000000000004">
      <c r="A14" t="s">
        <v>4</v>
      </c>
      <c r="B14">
        <v>10000</v>
      </c>
      <c r="C14">
        <v>10281</v>
      </c>
    </row>
    <row r="15" spans="1:3" x14ac:dyDescent="0.55000000000000004">
      <c r="A15" t="s">
        <v>4</v>
      </c>
      <c r="B15">
        <v>100000</v>
      </c>
      <c r="C15">
        <v>180109</v>
      </c>
    </row>
    <row r="16" spans="1:3" x14ac:dyDescent="0.55000000000000004">
      <c r="A16" t="s">
        <v>5</v>
      </c>
      <c r="B16">
        <v>10</v>
      </c>
      <c r="C16">
        <v>891</v>
      </c>
    </row>
    <row r="17" spans="1:3" x14ac:dyDescent="0.55000000000000004">
      <c r="A17" t="s">
        <v>5</v>
      </c>
      <c r="B17">
        <v>100</v>
      </c>
      <c r="C17">
        <v>891</v>
      </c>
    </row>
    <row r="18" spans="1:3" x14ac:dyDescent="0.55000000000000004">
      <c r="A18" t="s">
        <v>5</v>
      </c>
      <c r="B18">
        <v>1000</v>
      </c>
      <c r="C18">
        <v>1765</v>
      </c>
    </row>
    <row r="19" spans="1:3" x14ac:dyDescent="0.55000000000000004">
      <c r="A19" t="s">
        <v>5</v>
      </c>
      <c r="B19">
        <v>10000</v>
      </c>
      <c r="C19">
        <v>10062</v>
      </c>
    </row>
    <row r="20" spans="1:3" x14ac:dyDescent="0.55000000000000004">
      <c r="A20" t="s">
        <v>5</v>
      </c>
      <c r="B20">
        <v>100000</v>
      </c>
      <c r="C20">
        <v>130969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35CD3-56E6-471C-BAA1-79F1C02CA2F2}">
  <sheetPr codeName="Sheet2"/>
  <dimension ref="A1:C10"/>
  <sheetViews>
    <sheetView workbookViewId="0">
      <selection activeCell="C2" sqref="C2"/>
    </sheetView>
  </sheetViews>
  <sheetFormatPr defaultRowHeight="14.4" x14ac:dyDescent="0.55000000000000004"/>
  <cols>
    <col min="1" max="1" width="17.26171875" customWidth="1"/>
  </cols>
  <sheetData>
    <row r="1" spans="1:3" x14ac:dyDescent="0.55000000000000004">
      <c r="A1" t="s">
        <v>2</v>
      </c>
      <c r="B1" t="s">
        <v>0</v>
      </c>
      <c r="C1" t="s">
        <v>1</v>
      </c>
    </row>
    <row r="2" spans="1:3" x14ac:dyDescent="0.55000000000000004">
      <c r="A2" t="s">
        <v>3</v>
      </c>
      <c r="B2">
        <v>10</v>
      </c>
      <c r="C2">
        <v>0.93</v>
      </c>
    </row>
    <row r="3" spans="1:3" x14ac:dyDescent="0.55000000000000004">
      <c r="A3" t="s">
        <v>3</v>
      </c>
      <c r="B3">
        <v>100</v>
      </c>
      <c r="C3">
        <v>0.94</v>
      </c>
    </row>
    <row r="4" spans="1:3" x14ac:dyDescent="0.55000000000000004">
      <c r="A4" t="s">
        <v>3</v>
      </c>
      <c r="B4">
        <v>1000</v>
      </c>
      <c r="C4">
        <v>1.1000000000000001</v>
      </c>
    </row>
    <row r="5" spans="1:3" x14ac:dyDescent="0.55000000000000004">
      <c r="A5" t="s">
        <v>3</v>
      </c>
      <c r="B5">
        <v>10000</v>
      </c>
      <c r="C5">
        <v>1.88</v>
      </c>
    </row>
    <row r="6" spans="1:3" x14ac:dyDescent="0.55000000000000004">
      <c r="A6" t="s">
        <v>3</v>
      </c>
      <c r="B6">
        <v>100000</v>
      </c>
      <c r="C6">
        <v>10.47</v>
      </c>
    </row>
    <row r="7" spans="1:3" x14ac:dyDescent="0.55000000000000004">
      <c r="A7" t="s">
        <v>3</v>
      </c>
      <c r="B7">
        <v>200000</v>
      </c>
      <c r="C7">
        <v>19.84</v>
      </c>
    </row>
    <row r="8" spans="1:3" x14ac:dyDescent="0.55000000000000004">
      <c r="A8" t="s">
        <v>3</v>
      </c>
      <c r="B8">
        <v>300000</v>
      </c>
      <c r="C8">
        <v>34.54</v>
      </c>
    </row>
    <row r="9" spans="1:3" x14ac:dyDescent="0.55000000000000004">
      <c r="A9" t="s">
        <v>3</v>
      </c>
      <c r="B9">
        <v>400000</v>
      </c>
      <c r="C9">
        <v>38.43</v>
      </c>
    </row>
    <row r="10" spans="1:3" x14ac:dyDescent="0.55000000000000004">
      <c r="A10" t="s">
        <v>3</v>
      </c>
      <c r="B10">
        <v>500000</v>
      </c>
      <c r="C10">
        <v>47.66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C0CF-B023-469E-B5B6-3A040F7A055D}">
  <sheetPr codeName="Sheet3"/>
  <dimension ref="A1:D6"/>
  <sheetViews>
    <sheetView workbookViewId="0">
      <selection activeCell="C11" sqref="C11"/>
    </sheetView>
  </sheetViews>
  <sheetFormatPr defaultRowHeight="14.4" x14ac:dyDescent="0.55000000000000004"/>
  <cols>
    <col min="1" max="1" width="16" customWidth="1"/>
    <col min="4" max="4" width="18.20703125" customWidth="1"/>
  </cols>
  <sheetData>
    <row r="1" spans="1:4" x14ac:dyDescent="0.55000000000000004">
      <c r="A1" t="s">
        <v>2</v>
      </c>
      <c r="B1" t="s">
        <v>0</v>
      </c>
      <c r="C1" t="s">
        <v>1</v>
      </c>
      <c r="D1" t="s">
        <v>6</v>
      </c>
    </row>
    <row r="2" spans="1:4" x14ac:dyDescent="0.55000000000000004">
      <c r="A2" t="s">
        <v>3</v>
      </c>
      <c r="B2">
        <v>100000</v>
      </c>
      <c r="C2">
        <v>235578</v>
      </c>
      <c r="D2" t="s">
        <v>7</v>
      </c>
    </row>
    <row r="3" spans="1:4" x14ac:dyDescent="0.55000000000000004">
      <c r="A3" t="s">
        <v>4</v>
      </c>
      <c r="B3">
        <v>100000</v>
      </c>
      <c r="C3">
        <v>19485</v>
      </c>
      <c r="D3" t="s">
        <v>7</v>
      </c>
    </row>
    <row r="4" spans="1:4" x14ac:dyDescent="0.55000000000000004">
      <c r="A4" t="s">
        <v>3</v>
      </c>
      <c r="B4">
        <v>100000</v>
      </c>
      <c r="C4">
        <v>1239469</v>
      </c>
      <c r="D4" t="s">
        <v>8</v>
      </c>
    </row>
    <row r="5" spans="1:4" x14ac:dyDescent="0.55000000000000004">
      <c r="A5" t="s">
        <v>4</v>
      </c>
      <c r="B5">
        <v>100000</v>
      </c>
      <c r="C5">
        <v>11985</v>
      </c>
      <c r="D5" t="s">
        <v>8</v>
      </c>
    </row>
    <row r="6" spans="1:4" x14ac:dyDescent="0.55000000000000004">
      <c r="A6" t="s">
        <v>5</v>
      </c>
      <c r="B6">
        <v>100000</v>
      </c>
      <c r="C6">
        <v>6235</v>
      </c>
      <c r="D6" t="s">
        <v>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4DED-CE2F-45C4-9D53-973E4EBCF648}">
  <sheetPr codeName="Sheet4"/>
  <dimension ref="A1:J50"/>
  <sheetViews>
    <sheetView topLeftCell="A22" zoomScale="85" zoomScaleNormal="85" workbookViewId="0">
      <selection activeCell="J43" sqref="J43"/>
    </sheetView>
  </sheetViews>
  <sheetFormatPr defaultRowHeight="14.4" x14ac:dyDescent="0.55000000000000004"/>
  <cols>
    <col min="1" max="1" width="35.578125" customWidth="1"/>
    <col min="2" max="2" width="27.26171875" customWidth="1"/>
    <col min="4" max="4" width="15.578125" customWidth="1"/>
    <col min="5" max="5" width="25.68359375" customWidth="1"/>
    <col min="6" max="6" width="17.26171875" customWidth="1"/>
    <col min="7" max="7" width="17.68359375" customWidth="1"/>
    <col min="8" max="8" width="17.5234375" customWidth="1"/>
    <col min="9" max="9" width="17.9453125" customWidth="1"/>
  </cols>
  <sheetData>
    <row r="1" spans="1:9" x14ac:dyDescent="0.55000000000000004">
      <c r="A1" s="1" t="s">
        <v>9</v>
      </c>
      <c r="B1" s="1" t="s">
        <v>2</v>
      </c>
      <c r="C1" s="1" t="s">
        <v>10</v>
      </c>
      <c r="D1" s="1" t="s">
        <v>12</v>
      </c>
      <c r="E1" s="1" t="s">
        <v>13</v>
      </c>
      <c r="F1" s="1" t="s">
        <v>14</v>
      </c>
      <c r="G1" s="1" t="s">
        <v>11</v>
      </c>
      <c r="H1" s="1" t="s">
        <v>40</v>
      </c>
      <c r="I1" s="1" t="s">
        <v>71</v>
      </c>
    </row>
    <row r="2" spans="1:9" x14ac:dyDescent="0.55000000000000004">
      <c r="A2" s="2" t="s">
        <v>15</v>
      </c>
      <c r="B2" s="2" t="s">
        <v>16</v>
      </c>
      <c r="C2" s="2" t="s">
        <v>17</v>
      </c>
      <c r="D2" s="2">
        <v>1204</v>
      </c>
      <c r="E2" s="2">
        <v>151593</v>
      </c>
      <c r="F2" s="2">
        <v>125</v>
      </c>
      <c r="G2" s="2">
        <v>152922</v>
      </c>
      <c r="H2" s="3">
        <v>175496</v>
      </c>
      <c r="I2" s="2"/>
    </row>
    <row r="3" spans="1:9" x14ac:dyDescent="0.55000000000000004">
      <c r="A3" s="2" t="s">
        <v>18</v>
      </c>
      <c r="B3" s="2" t="s">
        <v>19</v>
      </c>
      <c r="C3" s="2" t="s">
        <v>20</v>
      </c>
      <c r="D3" s="2">
        <v>3938</v>
      </c>
      <c r="E3" s="2">
        <v>13484</v>
      </c>
      <c r="F3" s="2">
        <v>125</v>
      </c>
      <c r="G3" s="2">
        <v>17547</v>
      </c>
      <c r="H3" s="3">
        <v>163753</v>
      </c>
      <c r="I3" s="2"/>
    </row>
    <row r="4" spans="1:9" x14ac:dyDescent="0.55000000000000004">
      <c r="A4" s="2" t="s">
        <v>21</v>
      </c>
      <c r="B4" s="2" t="s">
        <v>22</v>
      </c>
      <c r="C4" s="2" t="s">
        <v>23</v>
      </c>
      <c r="D4" s="2">
        <v>1203</v>
      </c>
      <c r="E4" s="2">
        <v>395187</v>
      </c>
      <c r="F4" s="2">
        <v>63</v>
      </c>
      <c r="G4" s="2">
        <v>396453</v>
      </c>
      <c r="H4" s="3">
        <v>69457</v>
      </c>
      <c r="I4" s="2"/>
    </row>
    <row r="5" spans="1:9" x14ac:dyDescent="0.55000000000000004">
      <c r="A5" s="2" t="s">
        <v>24</v>
      </c>
      <c r="B5" s="2" t="s">
        <v>25</v>
      </c>
      <c r="C5" s="2" t="s">
        <v>26</v>
      </c>
      <c r="D5" s="2">
        <v>1046</v>
      </c>
      <c r="E5" s="2">
        <v>3079</v>
      </c>
      <c r="F5" s="2">
        <v>15</v>
      </c>
      <c r="G5" s="2">
        <v>4140</v>
      </c>
      <c r="H5" s="3">
        <v>50647</v>
      </c>
      <c r="I5" s="2"/>
    </row>
    <row r="6" spans="1:9" x14ac:dyDescent="0.55000000000000004">
      <c r="A6" s="2" t="s">
        <v>27</v>
      </c>
      <c r="B6" s="2" t="s">
        <v>28</v>
      </c>
      <c r="C6" s="2" t="s">
        <v>29</v>
      </c>
      <c r="D6" s="2" t="s">
        <v>69</v>
      </c>
      <c r="E6" s="2" t="s">
        <v>69</v>
      </c>
      <c r="F6" s="2" t="s">
        <v>69</v>
      </c>
      <c r="G6" s="2" t="s">
        <v>69</v>
      </c>
      <c r="H6" s="3">
        <v>47112</v>
      </c>
      <c r="I6" s="2"/>
    </row>
    <row r="7" spans="1:9" x14ac:dyDescent="0.55000000000000004">
      <c r="A7" s="4" t="s">
        <v>30</v>
      </c>
      <c r="B7" s="2" t="s">
        <v>28</v>
      </c>
      <c r="C7" s="2" t="s">
        <v>29</v>
      </c>
      <c r="D7" s="2" t="s">
        <v>70</v>
      </c>
      <c r="E7" s="2" t="s">
        <v>70</v>
      </c>
      <c r="F7" s="2" t="s">
        <v>70</v>
      </c>
      <c r="G7" s="2" t="s">
        <v>70</v>
      </c>
      <c r="H7" s="3">
        <v>46347</v>
      </c>
      <c r="I7" s="2"/>
    </row>
    <row r="8" spans="1:9" x14ac:dyDescent="0.55000000000000004">
      <c r="A8" s="2" t="s">
        <v>31</v>
      </c>
      <c r="B8" s="2" t="s">
        <v>32</v>
      </c>
      <c r="C8" s="2" t="s">
        <v>33</v>
      </c>
      <c r="D8" s="2">
        <v>30266</v>
      </c>
      <c r="E8" s="2">
        <v>4203</v>
      </c>
      <c r="F8" s="2">
        <v>31</v>
      </c>
      <c r="G8" s="2">
        <v>34500</v>
      </c>
      <c r="H8" s="3">
        <v>39299</v>
      </c>
      <c r="I8" s="2"/>
    </row>
    <row r="9" spans="1:9" x14ac:dyDescent="0.55000000000000004">
      <c r="A9" s="2" t="s">
        <v>34</v>
      </c>
      <c r="B9" s="2" t="s">
        <v>32</v>
      </c>
      <c r="C9" s="2" t="s">
        <v>33</v>
      </c>
      <c r="D9" s="2">
        <v>2766</v>
      </c>
      <c r="E9" s="2">
        <v>4563</v>
      </c>
      <c r="F9" s="2">
        <v>31</v>
      </c>
      <c r="G9" s="2">
        <v>7360</v>
      </c>
      <c r="H9" s="3">
        <v>39299</v>
      </c>
      <c r="I9" s="2"/>
    </row>
    <row r="10" spans="1:9" x14ac:dyDescent="0.55000000000000004">
      <c r="A10" s="2" t="s">
        <v>35</v>
      </c>
      <c r="B10" s="2" t="s">
        <v>32</v>
      </c>
      <c r="C10" s="2" t="s">
        <v>33</v>
      </c>
      <c r="D10" s="2">
        <v>3390</v>
      </c>
      <c r="E10" s="2">
        <v>2719</v>
      </c>
      <c r="F10" s="2">
        <v>31</v>
      </c>
      <c r="G10" s="2">
        <v>6140</v>
      </c>
      <c r="H10" s="3">
        <v>37717</v>
      </c>
      <c r="I10" s="2"/>
    </row>
    <row r="11" spans="1:9" x14ac:dyDescent="0.55000000000000004">
      <c r="A11" s="2" t="s">
        <v>36</v>
      </c>
      <c r="B11" s="2" t="s">
        <v>32</v>
      </c>
      <c r="C11" s="2" t="s">
        <v>33</v>
      </c>
      <c r="D11" s="2">
        <v>2797</v>
      </c>
      <c r="E11" s="2">
        <v>2703</v>
      </c>
      <c r="F11" s="2">
        <v>16</v>
      </c>
      <c r="G11" s="2">
        <v>5516</v>
      </c>
      <c r="H11" s="3">
        <v>37717</v>
      </c>
      <c r="I11" s="2"/>
    </row>
    <row r="12" spans="1:9" x14ac:dyDescent="0.55000000000000004">
      <c r="A12" s="2" t="s">
        <v>37</v>
      </c>
      <c r="B12" s="2" t="s">
        <v>32</v>
      </c>
      <c r="C12" s="2" t="s">
        <v>33</v>
      </c>
      <c r="D12" s="2">
        <v>3343</v>
      </c>
      <c r="E12" s="2">
        <v>2907</v>
      </c>
      <c r="F12" s="2">
        <v>15</v>
      </c>
      <c r="G12" s="2">
        <v>6265</v>
      </c>
      <c r="H12" s="3">
        <v>36916</v>
      </c>
      <c r="I12" s="2"/>
    </row>
    <row r="13" spans="1:9" x14ac:dyDescent="0.55000000000000004">
      <c r="A13" s="2" t="s">
        <v>38</v>
      </c>
      <c r="B13" s="2" t="s">
        <v>32</v>
      </c>
      <c r="C13" s="2" t="s">
        <v>33</v>
      </c>
      <c r="D13" s="2">
        <v>2782</v>
      </c>
      <c r="E13" s="2">
        <v>2703</v>
      </c>
      <c r="F13" s="2">
        <v>15</v>
      </c>
      <c r="G13" s="2">
        <v>5500</v>
      </c>
      <c r="H13" s="3">
        <v>36916</v>
      </c>
      <c r="I13" s="2"/>
    </row>
    <row r="14" spans="1:9" x14ac:dyDescent="0.55000000000000004">
      <c r="A14" s="2" t="s">
        <v>39</v>
      </c>
      <c r="B14" s="2" t="s">
        <v>32</v>
      </c>
      <c r="C14" s="2" t="s">
        <v>33</v>
      </c>
      <c r="D14" s="2">
        <v>3406</v>
      </c>
      <c r="E14" s="2">
        <v>2656</v>
      </c>
      <c r="F14" s="2">
        <v>16</v>
      </c>
      <c r="G14" s="2">
        <v>6078</v>
      </c>
      <c r="H14" s="3">
        <v>36914</v>
      </c>
      <c r="I14" s="2"/>
    </row>
    <row r="15" spans="1:9" x14ac:dyDescent="0.55000000000000004">
      <c r="A15" s="3" t="s">
        <v>21</v>
      </c>
      <c r="B15" s="2" t="s">
        <v>22</v>
      </c>
      <c r="C15" s="2" t="s">
        <v>52</v>
      </c>
      <c r="D15" s="2">
        <v>1000</v>
      </c>
      <c r="E15" s="2">
        <v>229062</v>
      </c>
      <c r="F15" s="2">
        <v>63</v>
      </c>
      <c r="G15" s="2">
        <v>230125</v>
      </c>
      <c r="H15" s="2"/>
      <c r="I15" s="3">
        <v>6952</v>
      </c>
    </row>
    <row r="16" spans="1:9" x14ac:dyDescent="0.55000000000000004">
      <c r="A16" s="3" t="s">
        <v>41</v>
      </c>
      <c r="B16" s="2" t="s">
        <v>53</v>
      </c>
      <c r="C16" s="2" t="s">
        <v>54</v>
      </c>
      <c r="D16" s="2">
        <v>984</v>
      </c>
      <c r="E16" s="2">
        <v>4703</v>
      </c>
      <c r="F16" s="2">
        <v>0</v>
      </c>
      <c r="G16" s="2">
        <v>5687</v>
      </c>
      <c r="H16" s="2"/>
      <c r="I16" s="3">
        <v>4290</v>
      </c>
    </row>
    <row r="17" spans="1:10" x14ac:dyDescent="0.55000000000000004">
      <c r="A17" s="3" t="s">
        <v>42</v>
      </c>
      <c r="B17" s="2" t="s">
        <v>55</v>
      </c>
      <c r="C17" s="2" t="s">
        <v>56</v>
      </c>
      <c r="D17" s="2">
        <v>843</v>
      </c>
      <c r="E17" s="2">
        <v>10579</v>
      </c>
      <c r="F17" s="2">
        <v>62</v>
      </c>
      <c r="G17" s="2">
        <v>11484</v>
      </c>
      <c r="H17" s="2"/>
      <c r="I17" s="3">
        <v>2191</v>
      </c>
    </row>
    <row r="18" spans="1:10" x14ac:dyDescent="0.55000000000000004">
      <c r="A18" s="3" t="s">
        <v>43</v>
      </c>
      <c r="B18" s="2" t="s">
        <v>57</v>
      </c>
      <c r="C18" s="2" t="s">
        <v>58</v>
      </c>
      <c r="D18" s="2">
        <v>4328</v>
      </c>
      <c r="E18" s="2">
        <v>33485</v>
      </c>
      <c r="F18" s="2">
        <v>46</v>
      </c>
      <c r="G18" s="2">
        <v>37859</v>
      </c>
      <c r="H18" s="2"/>
      <c r="I18" s="3">
        <v>2003</v>
      </c>
    </row>
    <row r="19" spans="1:10" x14ac:dyDescent="0.55000000000000004">
      <c r="A19" s="3" t="s">
        <v>44</v>
      </c>
      <c r="B19" s="2" t="s">
        <v>57</v>
      </c>
      <c r="C19" s="2" t="s">
        <v>59</v>
      </c>
      <c r="D19" s="2">
        <v>3516</v>
      </c>
      <c r="E19" s="2">
        <v>29359</v>
      </c>
      <c r="F19" s="2">
        <v>47</v>
      </c>
      <c r="G19" s="2">
        <v>32922</v>
      </c>
      <c r="H19" s="2"/>
      <c r="I19" s="3">
        <v>2003</v>
      </c>
    </row>
    <row r="20" spans="1:10" x14ac:dyDescent="0.55000000000000004">
      <c r="A20" s="3" t="s">
        <v>45</v>
      </c>
      <c r="B20" s="2" t="s">
        <v>57</v>
      </c>
      <c r="C20" s="2" t="s">
        <v>58</v>
      </c>
      <c r="D20" s="2">
        <v>4094</v>
      </c>
      <c r="E20" s="2">
        <v>14844</v>
      </c>
      <c r="F20" s="2">
        <v>31</v>
      </c>
      <c r="G20" s="2">
        <v>18969</v>
      </c>
      <c r="H20" s="2"/>
      <c r="I20" s="3">
        <v>2003</v>
      </c>
    </row>
    <row r="21" spans="1:10" x14ac:dyDescent="0.55000000000000004">
      <c r="A21" s="3" t="s">
        <v>46</v>
      </c>
      <c r="B21" s="2" t="s">
        <v>57</v>
      </c>
      <c r="C21" s="2" t="s">
        <v>58</v>
      </c>
      <c r="D21" s="2">
        <v>3563</v>
      </c>
      <c r="E21" s="2">
        <v>18500</v>
      </c>
      <c r="F21" s="2">
        <v>62</v>
      </c>
      <c r="G21" s="2">
        <v>22125</v>
      </c>
      <c r="H21" s="2"/>
      <c r="I21" s="3">
        <v>2003</v>
      </c>
    </row>
    <row r="22" spans="1:10" x14ac:dyDescent="0.55000000000000004">
      <c r="A22" s="3" t="s">
        <v>18</v>
      </c>
      <c r="B22" s="2" t="s">
        <v>19</v>
      </c>
      <c r="C22" s="2" t="s">
        <v>60</v>
      </c>
      <c r="D22" s="2">
        <v>3250</v>
      </c>
      <c r="E22" s="2">
        <v>6750</v>
      </c>
      <c r="F22" s="2">
        <v>94</v>
      </c>
      <c r="G22" s="2">
        <v>10094</v>
      </c>
      <c r="H22" s="2"/>
      <c r="I22" s="3">
        <v>1622</v>
      </c>
    </row>
    <row r="23" spans="1:10" x14ac:dyDescent="0.55000000000000004">
      <c r="A23" s="3" t="s">
        <v>47</v>
      </c>
      <c r="B23" s="2" t="s">
        <v>61</v>
      </c>
      <c r="C23" s="2" t="s">
        <v>62</v>
      </c>
      <c r="D23" s="2">
        <v>781</v>
      </c>
      <c r="E23" s="2">
        <v>312</v>
      </c>
      <c r="F23" s="2">
        <v>32</v>
      </c>
      <c r="G23" s="2">
        <v>1125</v>
      </c>
      <c r="H23" s="2"/>
      <c r="I23" s="3">
        <v>1441</v>
      </c>
    </row>
    <row r="24" spans="1:10" x14ac:dyDescent="0.55000000000000004">
      <c r="A24" s="3" t="s">
        <v>48</v>
      </c>
      <c r="B24" s="2" t="s">
        <v>63</v>
      </c>
      <c r="C24" s="2" t="s">
        <v>64</v>
      </c>
      <c r="D24" s="2">
        <v>4219</v>
      </c>
      <c r="E24" s="2">
        <v>828</v>
      </c>
      <c r="F24" s="2">
        <v>172</v>
      </c>
      <c r="G24" s="2">
        <v>5219</v>
      </c>
      <c r="H24" s="2"/>
      <c r="I24" s="3">
        <v>1285</v>
      </c>
    </row>
    <row r="25" spans="1:10" x14ac:dyDescent="0.55000000000000004">
      <c r="A25" s="3" t="s">
        <v>49</v>
      </c>
      <c r="B25" s="2" t="s">
        <v>16</v>
      </c>
      <c r="C25" s="2" t="s">
        <v>65</v>
      </c>
      <c r="D25" s="2">
        <v>859</v>
      </c>
      <c r="E25" s="2">
        <v>10375</v>
      </c>
      <c r="F25" s="2">
        <v>31</v>
      </c>
      <c r="G25" s="2">
        <v>11265</v>
      </c>
      <c r="H25" s="2"/>
      <c r="I25" s="3">
        <v>1219</v>
      </c>
    </row>
    <row r="26" spans="1:10" x14ac:dyDescent="0.55000000000000004">
      <c r="A26" s="3" t="s">
        <v>50</v>
      </c>
      <c r="B26" s="2" t="s">
        <v>66</v>
      </c>
      <c r="C26" s="2" t="s">
        <v>67</v>
      </c>
      <c r="D26" s="2">
        <v>829</v>
      </c>
      <c r="E26" s="2">
        <v>6531</v>
      </c>
      <c r="F26" s="2">
        <v>78</v>
      </c>
      <c r="G26" s="2">
        <v>7438</v>
      </c>
      <c r="H26" s="2"/>
      <c r="I26" s="3">
        <v>1085</v>
      </c>
    </row>
    <row r="27" spans="1:10" x14ac:dyDescent="0.55000000000000004">
      <c r="A27" s="3" t="s">
        <v>51</v>
      </c>
      <c r="B27" s="2" t="s">
        <v>16</v>
      </c>
      <c r="C27" s="2" t="s">
        <v>68</v>
      </c>
      <c r="D27" s="2">
        <v>672</v>
      </c>
      <c r="E27" s="2">
        <v>359</v>
      </c>
      <c r="F27" s="2">
        <v>63</v>
      </c>
      <c r="G27" s="2">
        <v>1094</v>
      </c>
      <c r="H27" s="2"/>
      <c r="I27" s="3">
        <v>1080</v>
      </c>
    </row>
    <row r="29" spans="1:10" x14ac:dyDescent="0.55000000000000004">
      <c r="A29" s="1" t="s">
        <v>9</v>
      </c>
      <c r="B29" s="1" t="s">
        <v>2</v>
      </c>
      <c r="C29" s="1" t="s">
        <v>10</v>
      </c>
      <c r="D29" s="1" t="s">
        <v>12</v>
      </c>
      <c r="E29" s="1" t="s">
        <v>13</v>
      </c>
      <c r="F29" s="1" t="s">
        <v>14</v>
      </c>
      <c r="G29" s="1" t="s">
        <v>11</v>
      </c>
      <c r="H29" s="1" t="s">
        <v>40</v>
      </c>
      <c r="I29" s="1" t="s">
        <v>71</v>
      </c>
      <c r="J29" s="2"/>
    </row>
    <row r="30" spans="1:10" x14ac:dyDescent="0.55000000000000004">
      <c r="A30" s="2" t="s">
        <v>72</v>
      </c>
      <c r="B30" s="2" t="s">
        <v>73</v>
      </c>
      <c r="C30" s="2" t="s">
        <v>74</v>
      </c>
      <c r="D30" s="2">
        <v>4187</v>
      </c>
      <c r="E30" s="2">
        <v>150375</v>
      </c>
      <c r="F30" s="2">
        <v>547</v>
      </c>
      <c r="G30" s="2">
        <v>155109</v>
      </c>
      <c r="H30" s="2">
        <v>304082</v>
      </c>
      <c r="I30" s="2"/>
      <c r="J30" s="2"/>
    </row>
    <row r="31" spans="1:10" x14ac:dyDescent="0.55000000000000004">
      <c r="A31" s="2" t="s">
        <v>75</v>
      </c>
      <c r="B31" s="2" t="s">
        <v>76</v>
      </c>
      <c r="C31" s="2" t="s">
        <v>77</v>
      </c>
      <c r="D31" s="2">
        <v>2922</v>
      </c>
      <c r="E31" s="2">
        <v>12854672</v>
      </c>
      <c r="F31" s="2">
        <v>47</v>
      </c>
      <c r="G31" s="2">
        <v>12857641</v>
      </c>
      <c r="H31" s="2">
        <v>199999</v>
      </c>
      <c r="I31" s="2"/>
      <c r="J31" s="2"/>
    </row>
    <row r="32" spans="1:10" x14ac:dyDescent="0.55000000000000004">
      <c r="A32" s="2" t="s">
        <v>78</v>
      </c>
      <c r="B32" s="2" t="s">
        <v>79</v>
      </c>
      <c r="C32" s="2" t="s">
        <v>80</v>
      </c>
      <c r="D32" s="2">
        <v>1703</v>
      </c>
      <c r="E32" s="2">
        <v>20750</v>
      </c>
      <c r="F32" s="2">
        <v>110</v>
      </c>
      <c r="G32" s="2">
        <v>22563</v>
      </c>
      <c r="H32" s="2">
        <v>189106</v>
      </c>
      <c r="I32" s="2"/>
      <c r="J32" s="2"/>
    </row>
    <row r="33" spans="1:10" x14ac:dyDescent="0.55000000000000004">
      <c r="A33" s="4" t="s">
        <v>81</v>
      </c>
      <c r="B33" s="2" t="s">
        <v>89</v>
      </c>
      <c r="C33" s="2" t="s">
        <v>104</v>
      </c>
      <c r="D33" s="2">
        <v>2735</v>
      </c>
      <c r="E33" s="2">
        <v>158547</v>
      </c>
      <c r="F33" s="2">
        <v>921</v>
      </c>
      <c r="G33" s="2">
        <v>162203</v>
      </c>
      <c r="H33" s="2">
        <v>179999</v>
      </c>
      <c r="I33" s="2"/>
      <c r="J33" s="2"/>
    </row>
    <row r="34" spans="1:10" x14ac:dyDescent="0.55000000000000004">
      <c r="A34" s="2" t="s">
        <v>82</v>
      </c>
      <c r="B34" s="2" t="s">
        <v>83</v>
      </c>
      <c r="C34" s="2" t="s">
        <v>84</v>
      </c>
      <c r="D34" s="2">
        <v>1343</v>
      </c>
      <c r="E34" s="2">
        <v>15375</v>
      </c>
      <c r="F34" s="2">
        <v>79</v>
      </c>
      <c r="G34" s="2">
        <v>16797</v>
      </c>
      <c r="H34" s="2">
        <v>156385</v>
      </c>
      <c r="I34" s="2"/>
      <c r="J34" s="2"/>
    </row>
    <row r="35" spans="1:10" x14ac:dyDescent="0.55000000000000004">
      <c r="A35" s="2" t="s">
        <v>85</v>
      </c>
      <c r="B35" s="2" t="s">
        <v>86</v>
      </c>
      <c r="C35" s="2" t="s">
        <v>87</v>
      </c>
      <c r="D35" s="2">
        <v>2828</v>
      </c>
      <c r="E35" s="2">
        <v>12391</v>
      </c>
      <c r="F35" s="2">
        <v>1500</v>
      </c>
      <c r="G35" s="2">
        <v>16719</v>
      </c>
      <c r="H35" s="2">
        <v>140160</v>
      </c>
      <c r="I35" s="2"/>
      <c r="J35" s="2"/>
    </row>
    <row r="36" spans="1:10" x14ac:dyDescent="0.55000000000000004">
      <c r="A36" s="2" t="s">
        <v>88</v>
      </c>
      <c r="B36" s="2" t="s">
        <v>89</v>
      </c>
      <c r="C36" s="2" t="s">
        <v>90</v>
      </c>
      <c r="D36" s="2">
        <v>1407</v>
      </c>
      <c r="E36" s="2">
        <v>4995625</v>
      </c>
      <c r="F36" s="2">
        <v>47</v>
      </c>
      <c r="G36" s="2">
        <v>4997079</v>
      </c>
      <c r="H36" s="2">
        <v>131532</v>
      </c>
      <c r="I36" s="2"/>
      <c r="J36" s="2"/>
    </row>
    <row r="37" spans="1:10" x14ac:dyDescent="0.55000000000000004">
      <c r="A37" s="2" t="s">
        <v>91</v>
      </c>
      <c r="B37" s="2" t="s">
        <v>92</v>
      </c>
      <c r="C37" s="2" t="s">
        <v>90</v>
      </c>
      <c r="D37" s="2">
        <v>1500</v>
      </c>
      <c r="E37" s="2">
        <v>1647265</v>
      </c>
      <c r="F37" s="2">
        <v>32</v>
      </c>
      <c r="G37" s="2">
        <v>1648797</v>
      </c>
      <c r="H37" s="2">
        <v>131455</v>
      </c>
      <c r="I37" s="2"/>
      <c r="J37" s="2"/>
    </row>
    <row r="38" spans="1:10" x14ac:dyDescent="0.55000000000000004">
      <c r="A38" s="2" t="s">
        <v>93</v>
      </c>
      <c r="B38" s="2" t="s">
        <v>94</v>
      </c>
      <c r="C38" s="2" t="s">
        <v>95</v>
      </c>
      <c r="D38" s="2">
        <v>2406</v>
      </c>
      <c r="E38" s="2">
        <v>70250</v>
      </c>
      <c r="F38" s="2">
        <v>4094</v>
      </c>
      <c r="G38" s="2">
        <v>76750</v>
      </c>
      <c r="H38" s="2">
        <v>127432</v>
      </c>
      <c r="I38" s="2"/>
      <c r="J38" s="2"/>
    </row>
    <row r="39" spans="1:10" x14ac:dyDescent="0.55000000000000004">
      <c r="A39" s="4" t="s">
        <v>96</v>
      </c>
      <c r="B39" s="4" t="s">
        <v>112</v>
      </c>
      <c r="C39" s="2" t="s">
        <v>111</v>
      </c>
      <c r="D39" s="2">
        <v>2297</v>
      </c>
      <c r="E39" s="2">
        <v>446844</v>
      </c>
      <c r="F39" s="2">
        <v>2015</v>
      </c>
      <c r="G39" s="2">
        <v>451156</v>
      </c>
      <c r="H39" s="2">
        <v>126820</v>
      </c>
      <c r="I39" s="2"/>
      <c r="J39" s="2"/>
    </row>
    <row r="40" spans="1:10" x14ac:dyDescent="0.55000000000000004">
      <c r="A40" s="2" t="s">
        <v>97</v>
      </c>
      <c r="B40" s="2" t="s">
        <v>98</v>
      </c>
      <c r="C40" s="2" t="s">
        <v>99</v>
      </c>
      <c r="D40" s="2">
        <v>1828</v>
      </c>
      <c r="E40" s="2">
        <v>9550875</v>
      </c>
      <c r="F40" s="2">
        <v>172</v>
      </c>
      <c r="G40" s="2">
        <v>9552875</v>
      </c>
      <c r="H40" s="2">
        <v>124534</v>
      </c>
      <c r="I40" s="2"/>
      <c r="J40" s="2"/>
    </row>
    <row r="41" spans="1:10" x14ac:dyDescent="0.55000000000000004">
      <c r="A41" s="2" t="s">
        <v>75</v>
      </c>
      <c r="B41" s="2" t="s">
        <v>76</v>
      </c>
      <c r="C41" s="2" t="s">
        <v>77</v>
      </c>
      <c r="D41" s="2"/>
      <c r="E41" s="2"/>
      <c r="F41" s="2"/>
      <c r="G41" s="2"/>
      <c r="H41" s="2"/>
      <c r="I41" s="2">
        <v>199999</v>
      </c>
      <c r="J41" s="2" t="s">
        <v>100</v>
      </c>
    </row>
    <row r="42" spans="1:10" x14ac:dyDescent="0.55000000000000004">
      <c r="A42" s="2" t="s">
        <v>88</v>
      </c>
      <c r="B42" s="2" t="s">
        <v>89</v>
      </c>
      <c r="C42" s="2" t="s">
        <v>90</v>
      </c>
      <c r="D42" s="2">
        <v>1375</v>
      </c>
      <c r="E42" s="2">
        <v>2560234</v>
      </c>
      <c r="F42" s="2">
        <v>32</v>
      </c>
      <c r="G42" s="2">
        <v>2561641</v>
      </c>
      <c r="H42" s="2"/>
      <c r="I42" s="2">
        <v>131532</v>
      </c>
      <c r="J42" s="2"/>
    </row>
    <row r="43" spans="1:10" x14ac:dyDescent="0.55000000000000004">
      <c r="A43" s="2" t="s">
        <v>97</v>
      </c>
      <c r="B43" s="2" t="s">
        <v>98</v>
      </c>
      <c r="C43" s="2" t="s">
        <v>99</v>
      </c>
      <c r="D43" s="2">
        <v>2016</v>
      </c>
      <c r="E43" s="2">
        <v>2986734</v>
      </c>
      <c r="F43" s="2">
        <v>16</v>
      </c>
      <c r="G43" s="2">
        <v>2988766</v>
      </c>
      <c r="H43" s="2"/>
      <c r="I43" s="2">
        <v>124534</v>
      </c>
      <c r="J43" s="2"/>
    </row>
    <row r="44" spans="1:10" x14ac:dyDescent="0.55000000000000004">
      <c r="A44" s="4" t="s">
        <v>101</v>
      </c>
      <c r="B44" s="2" t="s">
        <v>16</v>
      </c>
      <c r="C44" s="2" t="s">
        <v>113</v>
      </c>
      <c r="D44" s="2">
        <v>1922</v>
      </c>
      <c r="E44" s="2">
        <v>7789781</v>
      </c>
      <c r="F44" s="2">
        <v>16</v>
      </c>
      <c r="G44" s="2">
        <v>7791719</v>
      </c>
      <c r="H44" s="2"/>
      <c r="I44" s="2">
        <v>99999</v>
      </c>
      <c r="J44" s="2"/>
    </row>
    <row r="45" spans="1:10" x14ac:dyDescent="0.55000000000000004">
      <c r="A45" s="2" t="s">
        <v>102</v>
      </c>
      <c r="B45" s="2" t="s">
        <v>16</v>
      </c>
      <c r="C45" s="2" t="s">
        <v>99</v>
      </c>
      <c r="D45" s="2">
        <v>2000</v>
      </c>
      <c r="E45" s="2">
        <v>4070578</v>
      </c>
      <c r="F45" s="2">
        <v>4281</v>
      </c>
      <c r="G45" s="2">
        <v>4076859</v>
      </c>
      <c r="H45" s="2"/>
      <c r="I45" s="2">
        <v>99998</v>
      </c>
      <c r="J45" s="2"/>
    </row>
    <row r="46" spans="1:10" x14ac:dyDescent="0.55000000000000004">
      <c r="A46" s="2" t="s">
        <v>103</v>
      </c>
      <c r="B46" s="2" t="s">
        <v>16</v>
      </c>
      <c r="C46" s="2" t="s">
        <v>117</v>
      </c>
      <c r="D46" s="2">
        <v>26516</v>
      </c>
      <c r="E46" s="2">
        <v>2634250</v>
      </c>
      <c r="F46" s="2">
        <v>31</v>
      </c>
      <c r="G46" s="2">
        <v>2660797</v>
      </c>
      <c r="H46" s="2"/>
      <c r="I46" s="2">
        <v>79999</v>
      </c>
      <c r="J46" s="2"/>
    </row>
    <row r="47" spans="1:10" x14ac:dyDescent="0.55000000000000004">
      <c r="A47" s="2" t="s">
        <v>105</v>
      </c>
      <c r="B47" s="2" t="s">
        <v>106</v>
      </c>
      <c r="C47" s="2" t="s">
        <v>107</v>
      </c>
      <c r="D47" s="2">
        <v>1360</v>
      </c>
      <c r="E47" s="2">
        <v>782671</v>
      </c>
      <c r="F47" s="2">
        <v>16</v>
      </c>
      <c r="G47" s="2">
        <v>784047</v>
      </c>
      <c r="H47" s="2"/>
      <c r="I47" s="2">
        <v>67099</v>
      </c>
      <c r="J47" s="2"/>
    </row>
    <row r="48" spans="1:10" x14ac:dyDescent="0.55000000000000004">
      <c r="A48" s="4" t="s">
        <v>108</v>
      </c>
      <c r="B48" s="2" t="s">
        <v>89</v>
      </c>
      <c r="C48" s="2" t="s">
        <v>114</v>
      </c>
      <c r="D48" s="2">
        <v>4563</v>
      </c>
      <c r="E48" s="2">
        <v>934187</v>
      </c>
      <c r="F48" s="2">
        <v>32</v>
      </c>
      <c r="G48" s="2">
        <v>938782</v>
      </c>
      <c r="H48" s="2"/>
      <c r="I48" s="2">
        <v>65205</v>
      </c>
      <c r="J48" s="2"/>
    </row>
    <row r="49" spans="1:10" x14ac:dyDescent="0.55000000000000004">
      <c r="A49" s="2" t="s">
        <v>109</v>
      </c>
      <c r="B49" s="2" t="s">
        <v>115</v>
      </c>
      <c r="C49" s="2" t="s">
        <v>116</v>
      </c>
      <c r="D49" s="2">
        <v>891</v>
      </c>
      <c r="E49" s="2">
        <v>274266</v>
      </c>
      <c r="F49" s="2">
        <v>2484</v>
      </c>
      <c r="G49" s="2">
        <v>277641</v>
      </c>
      <c r="H49" s="2"/>
      <c r="I49" s="2">
        <v>59735</v>
      </c>
      <c r="J49" s="2"/>
    </row>
    <row r="50" spans="1:10" x14ac:dyDescent="0.55000000000000004">
      <c r="A50" s="4" t="s">
        <v>110</v>
      </c>
      <c r="B50" s="2" t="s">
        <v>16</v>
      </c>
      <c r="C50" s="2" t="s">
        <v>118</v>
      </c>
      <c r="D50" s="2">
        <v>3031</v>
      </c>
      <c r="E50" s="2">
        <v>191656</v>
      </c>
      <c r="F50" s="2">
        <v>1000</v>
      </c>
      <c r="G50" s="2">
        <v>195687</v>
      </c>
      <c r="H50" s="2"/>
      <c r="I50" s="2">
        <v>48001</v>
      </c>
      <c r="J50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CFE69-10B7-4260-BA75-277C3A289FE8}">
  <sheetPr codeName="Sheet5"/>
  <dimension ref="A1:G17"/>
  <sheetViews>
    <sheetView workbookViewId="0">
      <selection activeCell="G1" sqref="A1:G1"/>
    </sheetView>
  </sheetViews>
  <sheetFormatPr defaultRowHeight="14.4" x14ac:dyDescent="0.55000000000000004"/>
  <cols>
    <col min="1" max="1" width="17.5234375" customWidth="1"/>
    <col min="5" max="5" width="8.83984375" customWidth="1"/>
    <col min="7" max="7" width="20.578125" customWidth="1"/>
  </cols>
  <sheetData>
    <row r="1" spans="1:7" x14ac:dyDescent="0.55000000000000004">
      <c r="A1" t="s">
        <v>9</v>
      </c>
      <c r="B1" t="s">
        <v>2</v>
      </c>
      <c r="C1" t="s">
        <v>10</v>
      </c>
      <c r="D1" t="s">
        <v>12</v>
      </c>
      <c r="E1" t="s">
        <v>13</v>
      </c>
      <c r="F1" t="s">
        <v>14</v>
      </c>
      <c r="G1" t="s">
        <v>11</v>
      </c>
    </row>
    <row r="2" spans="1:7" x14ac:dyDescent="0.55000000000000004">
      <c r="A2" t="s">
        <v>119</v>
      </c>
      <c r="B2" t="s">
        <v>120</v>
      </c>
      <c r="C2" t="s">
        <v>17</v>
      </c>
      <c r="D2">
        <v>375</v>
      </c>
      <c r="E2">
        <v>161485</v>
      </c>
      <c r="F2">
        <v>62</v>
      </c>
      <c r="G2">
        <v>161922</v>
      </c>
    </row>
    <row r="3" spans="1:7" x14ac:dyDescent="0.55000000000000004">
      <c r="A3" t="s">
        <v>121</v>
      </c>
      <c r="B3" t="s">
        <v>120</v>
      </c>
      <c r="C3" t="s">
        <v>122</v>
      </c>
      <c r="D3">
        <v>3093</v>
      </c>
      <c r="E3">
        <v>2391</v>
      </c>
      <c r="F3">
        <v>16</v>
      </c>
      <c r="G3">
        <v>5500</v>
      </c>
    </row>
    <row r="4" spans="1:7" x14ac:dyDescent="0.55000000000000004">
      <c r="A4" t="s">
        <v>123</v>
      </c>
      <c r="B4" t="s">
        <v>120</v>
      </c>
      <c r="C4" t="s">
        <v>122</v>
      </c>
      <c r="D4">
        <v>1812</v>
      </c>
      <c r="E4">
        <v>2907</v>
      </c>
      <c r="F4">
        <v>15</v>
      </c>
      <c r="G4">
        <v>4734</v>
      </c>
    </row>
    <row r="5" spans="1:7" x14ac:dyDescent="0.55000000000000004">
      <c r="A5" t="s">
        <v>124</v>
      </c>
      <c r="B5" t="s">
        <v>120</v>
      </c>
      <c r="C5" t="s">
        <v>122</v>
      </c>
      <c r="D5">
        <v>2375</v>
      </c>
      <c r="E5">
        <v>2344</v>
      </c>
      <c r="F5">
        <v>16</v>
      </c>
      <c r="G5">
        <v>4735</v>
      </c>
    </row>
    <row r="6" spans="1:7" x14ac:dyDescent="0.55000000000000004">
      <c r="A6" t="s">
        <v>125</v>
      </c>
      <c r="B6" t="s">
        <v>120</v>
      </c>
      <c r="C6" t="s">
        <v>122</v>
      </c>
      <c r="D6">
        <v>2219</v>
      </c>
      <c r="E6">
        <v>2250</v>
      </c>
      <c r="F6">
        <v>15</v>
      </c>
      <c r="G6">
        <v>4484</v>
      </c>
    </row>
    <row r="7" spans="1:7" x14ac:dyDescent="0.55000000000000004">
      <c r="A7" t="s">
        <v>126</v>
      </c>
      <c r="B7" t="s">
        <v>120</v>
      </c>
      <c r="C7" t="s">
        <v>52</v>
      </c>
      <c r="D7">
        <v>547</v>
      </c>
      <c r="E7">
        <v>1378250</v>
      </c>
      <c r="F7">
        <v>78</v>
      </c>
      <c r="G7">
        <v>1378875</v>
      </c>
    </row>
    <row r="8" spans="1:7" x14ac:dyDescent="0.55000000000000004">
      <c r="A8" t="s">
        <v>127</v>
      </c>
      <c r="B8" t="s">
        <v>120</v>
      </c>
      <c r="C8" t="s">
        <v>54</v>
      </c>
      <c r="D8">
        <v>594</v>
      </c>
      <c r="E8">
        <v>9890</v>
      </c>
      <c r="F8">
        <v>0</v>
      </c>
      <c r="G8">
        <v>10484</v>
      </c>
    </row>
    <row r="9" spans="1:7" x14ac:dyDescent="0.55000000000000004">
      <c r="A9" t="s">
        <v>128</v>
      </c>
      <c r="B9" t="s">
        <v>55</v>
      </c>
      <c r="C9" t="s">
        <v>129</v>
      </c>
      <c r="D9">
        <v>16</v>
      </c>
      <c r="E9">
        <v>516</v>
      </c>
      <c r="F9">
        <v>0</v>
      </c>
      <c r="G9">
        <v>532</v>
      </c>
    </row>
    <row r="10" spans="1:7" x14ac:dyDescent="0.55000000000000004">
      <c r="A10" t="s">
        <v>130</v>
      </c>
      <c r="B10" t="s">
        <v>120</v>
      </c>
      <c r="C10" t="s">
        <v>74</v>
      </c>
      <c r="D10">
        <v>3109</v>
      </c>
      <c r="E10">
        <v>130235</v>
      </c>
      <c r="F10">
        <v>672</v>
      </c>
      <c r="G10">
        <v>134016</v>
      </c>
    </row>
    <row r="11" spans="1:7" x14ac:dyDescent="0.55000000000000004">
      <c r="A11" t="s">
        <v>131</v>
      </c>
      <c r="B11" t="s">
        <v>120</v>
      </c>
      <c r="C11" t="s">
        <v>80</v>
      </c>
      <c r="D11">
        <v>1172</v>
      </c>
      <c r="E11">
        <v>20968</v>
      </c>
      <c r="F11">
        <v>125</v>
      </c>
      <c r="G11">
        <v>22265</v>
      </c>
    </row>
    <row r="12" spans="1:7" x14ac:dyDescent="0.55000000000000004">
      <c r="A12" t="s">
        <v>132</v>
      </c>
      <c r="B12" t="s">
        <v>120</v>
      </c>
      <c r="C12" t="s">
        <v>84</v>
      </c>
      <c r="D12">
        <v>1593</v>
      </c>
      <c r="E12">
        <v>18563</v>
      </c>
      <c r="F12">
        <v>156</v>
      </c>
      <c r="G12">
        <v>20312</v>
      </c>
    </row>
    <row r="13" spans="1:7" x14ac:dyDescent="0.55000000000000004">
      <c r="A13" t="s">
        <v>133</v>
      </c>
      <c r="B13" t="s">
        <v>120</v>
      </c>
      <c r="C13" t="s">
        <v>87</v>
      </c>
      <c r="D13">
        <v>1046</v>
      </c>
      <c r="E13">
        <v>12813</v>
      </c>
      <c r="F13">
        <v>1562</v>
      </c>
      <c r="G13">
        <v>15421</v>
      </c>
    </row>
    <row r="14" spans="1:7" x14ac:dyDescent="0.55000000000000004">
      <c r="A14" t="s">
        <v>134</v>
      </c>
      <c r="B14" t="s">
        <v>120</v>
      </c>
      <c r="C14" t="s">
        <v>90</v>
      </c>
      <c r="D14">
        <v>1375</v>
      </c>
      <c r="E14">
        <v>21893313</v>
      </c>
      <c r="F14">
        <v>156</v>
      </c>
      <c r="G14">
        <v>21894844</v>
      </c>
    </row>
    <row r="15" spans="1:7" x14ac:dyDescent="0.55000000000000004">
      <c r="A15" t="s">
        <v>135</v>
      </c>
      <c r="B15" t="s">
        <v>120</v>
      </c>
      <c r="C15" t="s">
        <v>77</v>
      </c>
      <c r="D15">
        <v>2547</v>
      </c>
      <c r="E15">
        <v>12407906</v>
      </c>
      <c r="F15">
        <v>63</v>
      </c>
      <c r="G15">
        <v>12410516</v>
      </c>
    </row>
    <row r="16" spans="1:7" x14ac:dyDescent="0.55000000000000004">
      <c r="A16" t="s">
        <v>136</v>
      </c>
      <c r="B16" t="s">
        <v>120</v>
      </c>
      <c r="C16" t="s">
        <v>90</v>
      </c>
      <c r="D16">
        <v>1375</v>
      </c>
      <c r="E16">
        <v>2103453</v>
      </c>
      <c r="F16">
        <v>47</v>
      </c>
      <c r="G16">
        <v>2104875</v>
      </c>
    </row>
    <row r="17" spans="1:7" x14ac:dyDescent="0.55000000000000004">
      <c r="A17" t="s">
        <v>137</v>
      </c>
      <c r="B17" t="s">
        <v>120</v>
      </c>
      <c r="C17" t="s">
        <v>99</v>
      </c>
      <c r="D17">
        <v>1922</v>
      </c>
      <c r="E17">
        <v>2280953</v>
      </c>
      <c r="F17">
        <v>31</v>
      </c>
      <c r="G17">
        <v>2282906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A1D82-B1F8-4066-B9F2-1C30A41FBEBE}">
  <sheetPr codeName="Sheet6"/>
  <dimension ref="A1:H17"/>
  <sheetViews>
    <sheetView workbookViewId="0">
      <selection activeCell="A14" sqref="A14:A17"/>
    </sheetView>
  </sheetViews>
  <sheetFormatPr defaultRowHeight="14.4" x14ac:dyDescent="0.55000000000000004"/>
  <cols>
    <col min="1" max="1" width="15.734375" customWidth="1"/>
    <col min="5" max="5" width="22.7890625" customWidth="1"/>
  </cols>
  <sheetData>
    <row r="1" spans="1:8" x14ac:dyDescent="0.55000000000000004">
      <c r="A1" t="s">
        <v>9</v>
      </c>
      <c r="B1" t="s">
        <v>2</v>
      </c>
      <c r="C1" t="s">
        <v>10</v>
      </c>
      <c r="D1" t="s">
        <v>12</v>
      </c>
      <c r="E1" t="s">
        <v>13</v>
      </c>
      <c r="F1" t="s">
        <v>14</v>
      </c>
      <c r="G1" t="s">
        <v>11</v>
      </c>
      <c r="H1" t="s">
        <v>138</v>
      </c>
    </row>
    <row r="2" spans="1:8" x14ac:dyDescent="0.55000000000000004">
      <c r="A2" t="s">
        <v>119</v>
      </c>
      <c r="B2" t="s">
        <v>120</v>
      </c>
      <c r="C2" t="s">
        <v>17</v>
      </c>
      <c r="D2">
        <v>328</v>
      </c>
      <c r="E2">
        <v>45141</v>
      </c>
      <c r="F2">
        <v>0</v>
      </c>
      <c r="G2">
        <v>45469</v>
      </c>
      <c r="H2">
        <v>175496</v>
      </c>
    </row>
    <row r="3" spans="1:8" x14ac:dyDescent="0.55000000000000004">
      <c r="A3" t="s">
        <v>121</v>
      </c>
      <c r="B3" t="s">
        <v>120</v>
      </c>
      <c r="C3" t="s">
        <v>122</v>
      </c>
      <c r="D3">
        <v>750</v>
      </c>
      <c r="E3">
        <v>188</v>
      </c>
      <c r="F3">
        <v>0</v>
      </c>
      <c r="G3">
        <v>938</v>
      </c>
      <c r="H3">
        <v>35303</v>
      </c>
    </row>
    <row r="4" spans="1:8" x14ac:dyDescent="0.55000000000000004">
      <c r="A4" t="s">
        <v>123</v>
      </c>
      <c r="B4" t="s">
        <v>120</v>
      </c>
      <c r="C4" t="s">
        <v>122</v>
      </c>
      <c r="D4">
        <v>735</v>
      </c>
      <c r="E4">
        <v>125</v>
      </c>
      <c r="F4">
        <v>0</v>
      </c>
      <c r="G4">
        <v>860</v>
      </c>
      <c r="H4">
        <v>31846</v>
      </c>
    </row>
    <row r="5" spans="1:8" x14ac:dyDescent="0.55000000000000004">
      <c r="A5" t="s">
        <v>124</v>
      </c>
      <c r="B5" t="s">
        <v>120</v>
      </c>
      <c r="C5" t="s">
        <v>139</v>
      </c>
      <c r="D5">
        <v>781</v>
      </c>
      <c r="E5">
        <v>2000</v>
      </c>
      <c r="F5">
        <v>0</v>
      </c>
      <c r="G5">
        <v>2781</v>
      </c>
      <c r="H5">
        <v>29029</v>
      </c>
    </row>
    <row r="6" spans="1:8" x14ac:dyDescent="0.55000000000000004">
      <c r="A6" t="s">
        <v>125</v>
      </c>
      <c r="B6" t="s">
        <v>120</v>
      </c>
      <c r="C6" t="s">
        <v>140</v>
      </c>
      <c r="D6">
        <v>625</v>
      </c>
      <c r="E6">
        <v>312</v>
      </c>
      <c r="F6">
        <v>0</v>
      </c>
      <c r="G6">
        <v>937</v>
      </c>
      <c r="H6">
        <v>23749</v>
      </c>
    </row>
    <row r="7" spans="1:8" x14ac:dyDescent="0.55000000000000004">
      <c r="A7" t="s">
        <v>126</v>
      </c>
      <c r="B7" t="s">
        <v>120</v>
      </c>
      <c r="C7" t="s">
        <v>52</v>
      </c>
      <c r="D7">
        <v>688</v>
      </c>
      <c r="E7">
        <v>136812</v>
      </c>
      <c r="F7">
        <v>0</v>
      </c>
      <c r="G7">
        <v>137500</v>
      </c>
      <c r="H7">
        <v>20846</v>
      </c>
    </row>
    <row r="8" spans="1:8" x14ac:dyDescent="0.55000000000000004">
      <c r="A8" t="s">
        <v>127</v>
      </c>
      <c r="B8" t="s">
        <v>120</v>
      </c>
      <c r="C8" t="s">
        <v>54</v>
      </c>
      <c r="D8">
        <v>750</v>
      </c>
      <c r="E8">
        <v>3890</v>
      </c>
      <c r="F8">
        <v>0</v>
      </c>
      <c r="G8">
        <v>4640</v>
      </c>
      <c r="H8">
        <v>4290</v>
      </c>
    </row>
    <row r="9" spans="1:8" x14ac:dyDescent="0.55000000000000004">
      <c r="A9" t="s">
        <v>128</v>
      </c>
      <c r="B9" t="s">
        <v>120</v>
      </c>
      <c r="C9" t="s">
        <v>129</v>
      </c>
      <c r="D9">
        <v>688</v>
      </c>
      <c r="E9">
        <v>15</v>
      </c>
      <c r="F9">
        <v>0</v>
      </c>
      <c r="G9">
        <v>703</v>
      </c>
      <c r="H9">
        <v>4381</v>
      </c>
    </row>
    <row r="10" spans="1:8" x14ac:dyDescent="0.55000000000000004">
      <c r="A10" t="s">
        <v>130</v>
      </c>
      <c r="B10" t="s">
        <v>120</v>
      </c>
      <c r="C10" t="s">
        <v>74</v>
      </c>
      <c r="D10">
        <v>2922</v>
      </c>
      <c r="E10">
        <v>65468</v>
      </c>
      <c r="F10">
        <v>0</v>
      </c>
      <c r="G10">
        <v>68390</v>
      </c>
      <c r="H10">
        <v>304082</v>
      </c>
    </row>
    <row r="11" spans="1:8" x14ac:dyDescent="0.55000000000000004">
      <c r="A11" t="s">
        <v>131</v>
      </c>
      <c r="B11" t="s">
        <v>120</v>
      </c>
      <c r="C11" t="s">
        <v>80</v>
      </c>
      <c r="D11">
        <v>1265</v>
      </c>
      <c r="E11">
        <v>2016</v>
      </c>
      <c r="F11">
        <v>0</v>
      </c>
      <c r="G11">
        <v>3281</v>
      </c>
      <c r="H11">
        <v>189106</v>
      </c>
    </row>
    <row r="12" spans="1:8" x14ac:dyDescent="0.55000000000000004">
      <c r="A12" t="s">
        <v>132</v>
      </c>
      <c r="B12" t="s">
        <v>120</v>
      </c>
      <c r="C12" t="s">
        <v>84</v>
      </c>
      <c r="D12">
        <v>1422</v>
      </c>
      <c r="E12">
        <v>1375</v>
      </c>
      <c r="F12">
        <v>0</v>
      </c>
      <c r="G12">
        <v>2797</v>
      </c>
      <c r="H12">
        <v>156395</v>
      </c>
    </row>
    <row r="13" spans="1:8" x14ac:dyDescent="0.55000000000000004">
      <c r="A13" t="s">
        <v>133</v>
      </c>
      <c r="B13" t="s">
        <v>120</v>
      </c>
      <c r="C13" t="s">
        <v>87</v>
      </c>
      <c r="D13">
        <v>1313</v>
      </c>
      <c r="E13">
        <v>1031</v>
      </c>
      <c r="F13">
        <v>0</v>
      </c>
      <c r="G13">
        <v>2344</v>
      </c>
      <c r="H13">
        <v>140160</v>
      </c>
    </row>
    <row r="14" spans="1:8" x14ac:dyDescent="0.55000000000000004">
      <c r="A14" t="s">
        <v>134</v>
      </c>
      <c r="E14" t="s">
        <v>144</v>
      </c>
    </row>
    <row r="15" spans="1:8" x14ac:dyDescent="0.55000000000000004">
      <c r="A15" t="s">
        <v>135</v>
      </c>
      <c r="E15" t="s">
        <v>144</v>
      </c>
    </row>
    <row r="16" spans="1:8" x14ac:dyDescent="0.55000000000000004">
      <c r="A16" t="s">
        <v>136</v>
      </c>
      <c r="B16" t="s">
        <v>120</v>
      </c>
      <c r="C16" t="s">
        <v>90</v>
      </c>
      <c r="D16">
        <v>1141</v>
      </c>
      <c r="E16">
        <v>1737047</v>
      </c>
      <c r="F16">
        <v>0</v>
      </c>
      <c r="G16">
        <v>1738188</v>
      </c>
      <c r="H16">
        <v>131532</v>
      </c>
    </row>
    <row r="17" spans="1:8" x14ac:dyDescent="0.55000000000000004">
      <c r="A17" t="s">
        <v>137</v>
      </c>
      <c r="B17" t="s">
        <v>120</v>
      </c>
      <c r="C17" t="s">
        <v>99</v>
      </c>
      <c r="D17">
        <v>1360</v>
      </c>
      <c r="E17">
        <v>2474984</v>
      </c>
      <c r="F17">
        <v>0</v>
      </c>
      <c r="G17">
        <v>2476344</v>
      </c>
      <c r="H17">
        <v>124534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8105B-3538-4AC9-9884-0A81A5BA180F}">
  <sheetPr codeName="Sheet7"/>
  <dimension ref="A1:E17"/>
  <sheetViews>
    <sheetView tabSelected="1" workbookViewId="0">
      <selection activeCell="H13" sqref="H13"/>
    </sheetView>
  </sheetViews>
  <sheetFormatPr defaultRowHeight="14.4" x14ac:dyDescent="0.55000000000000004"/>
  <cols>
    <col min="1" max="1" width="18.5234375" customWidth="1"/>
  </cols>
  <sheetData>
    <row r="1" spans="1:5" x14ac:dyDescent="0.55000000000000004">
      <c r="A1" t="s">
        <v>9</v>
      </c>
      <c r="B1" t="s">
        <v>141</v>
      </c>
      <c r="C1" t="s">
        <v>142</v>
      </c>
      <c r="D1" t="s">
        <v>143</v>
      </c>
    </row>
    <row r="2" spans="1:5" x14ac:dyDescent="0.55000000000000004">
      <c r="A2" t="s">
        <v>119</v>
      </c>
      <c r="B2">
        <v>44188</v>
      </c>
      <c r="C2">
        <v>45078</v>
      </c>
      <c r="D2">
        <v>45141</v>
      </c>
      <c r="E2">
        <f>AVERAGE(B2:D2)</f>
        <v>44802.333333333336</v>
      </c>
    </row>
    <row r="3" spans="1:5" x14ac:dyDescent="0.55000000000000004">
      <c r="A3" t="s">
        <v>121</v>
      </c>
      <c r="B3">
        <v>157</v>
      </c>
      <c r="C3">
        <v>203</v>
      </c>
      <c r="D3">
        <v>188</v>
      </c>
      <c r="E3">
        <f t="shared" ref="E3:E17" si="0">AVERAGE(B3:D3)</f>
        <v>182.66666666666666</v>
      </c>
    </row>
    <row r="4" spans="1:5" x14ac:dyDescent="0.55000000000000004">
      <c r="A4" t="s">
        <v>123</v>
      </c>
      <c r="B4">
        <v>110</v>
      </c>
      <c r="C4">
        <v>141</v>
      </c>
      <c r="D4">
        <v>125</v>
      </c>
      <c r="E4">
        <f t="shared" si="0"/>
        <v>125.33333333333333</v>
      </c>
    </row>
    <row r="5" spans="1:5" x14ac:dyDescent="0.55000000000000004">
      <c r="A5" t="s">
        <v>124</v>
      </c>
      <c r="B5">
        <v>1860</v>
      </c>
      <c r="C5">
        <v>2078</v>
      </c>
      <c r="D5">
        <v>2000</v>
      </c>
      <c r="E5">
        <f t="shared" si="0"/>
        <v>1979.3333333333333</v>
      </c>
    </row>
    <row r="6" spans="1:5" x14ac:dyDescent="0.55000000000000004">
      <c r="A6" t="s">
        <v>125</v>
      </c>
      <c r="B6">
        <v>250</v>
      </c>
      <c r="C6">
        <v>313</v>
      </c>
      <c r="D6">
        <v>312</v>
      </c>
      <c r="E6">
        <f t="shared" si="0"/>
        <v>291.66666666666669</v>
      </c>
    </row>
    <row r="7" spans="1:5" x14ac:dyDescent="0.55000000000000004">
      <c r="A7" t="s">
        <v>126</v>
      </c>
      <c r="B7">
        <v>137297</v>
      </c>
      <c r="C7">
        <v>137141</v>
      </c>
      <c r="D7">
        <v>136812</v>
      </c>
      <c r="E7">
        <f t="shared" si="0"/>
        <v>137083.33333333334</v>
      </c>
    </row>
    <row r="8" spans="1:5" x14ac:dyDescent="0.55000000000000004">
      <c r="A8" t="s">
        <v>127</v>
      </c>
      <c r="B8">
        <v>7125</v>
      </c>
      <c r="C8">
        <v>3875</v>
      </c>
      <c r="D8">
        <v>3890</v>
      </c>
      <c r="E8">
        <f t="shared" si="0"/>
        <v>4963.333333333333</v>
      </c>
    </row>
    <row r="9" spans="1:5" x14ac:dyDescent="0.55000000000000004">
      <c r="A9" t="s">
        <v>128</v>
      </c>
      <c r="B9">
        <v>16</v>
      </c>
      <c r="C9">
        <v>16</v>
      </c>
      <c r="D9">
        <v>15</v>
      </c>
      <c r="E9">
        <f t="shared" si="0"/>
        <v>15.666666666666666</v>
      </c>
    </row>
    <row r="10" spans="1:5" x14ac:dyDescent="0.55000000000000004">
      <c r="A10" t="s">
        <v>130</v>
      </c>
      <c r="B10">
        <v>67594</v>
      </c>
      <c r="C10">
        <v>65640</v>
      </c>
      <c r="D10">
        <v>65468</v>
      </c>
      <c r="E10">
        <f t="shared" si="0"/>
        <v>66234</v>
      </c>
    </row>
    <row r="11" spans="1:5" x14ac:dyDescent="0.55000000000000004">
      <c r="A11" t="s">
        <v>131</v>
      </c>
      <c r="B11">
        <v>2265</v>
      </c>
      <c r="C11">
        <v>2172</v>
      </c>
      <c r="D11">
        <v>2016</v>
      </c>
      <c r="E11">
        <f t="shared" si="0"/>
        <v>2151</v>
      </c>
    </row>
    <row r="12" spans="1:5" x14ac:dyDescent="0.55000000000000004">
      <c r="A12" t="s">
        <v>132</v>
      </c>
      <c r="B12">
        <v>1360</v>
      </c>
      <c r="C12">
        <v>1375</v>
      </c>
      <c r="D12">
        <v>1375</v>
      </c>
      <c r="E12">
        <f t="shared" si="0"/>
        <v>1370</v>
      </c>
    </row>
    <row r="13" spans="1:5" x14ac:dyDescent="0.55000000000000004">
      <c r="A13" t="s">
        <v>133</v>
      </c>
      <c r="B13">
        <v>1250</v>
      </c>
      <c r="C13">
        <v>1062</v>
      </c>
      <c r="D13">
        <v>1031</v>
      </c>
      <c r="E13">
        <f t="shared" si="0"/>
        <v>1114.3333333333333</v>
      </c>
    </row>
    <row r="14" spans="1:5" x14ac:dyDescent="0.55000000000000004">
      <c r="A14" t="s">
        <v>134</v>
      </c>
      <c r="B14" t="s">
        <v>144</v>
      </c>
      <c r="C14" t="s">
        <v>144</v>
      </c>
      <c r="D14" t="s">
        <v>144</v>
      </c>
      <c r="E14" t="s">
        <v>144</v>
      </c>
    </row>
    <row r="15" spans="1:5" x14ac:dyDescent="0.55000000000000004">
      <c r="A15" t="s">
        <v>135</v>
      </c>
      <c r="B15" t="s">
        <v>144</v>
      </c>
      <c r="C15" t="s">
        <v>144</v>
      </c>
      <c r="D15" t="s">
        <v>144</v>
      </c>
      <c r="E15" t="s">
        <v>144</v>
      </c>
    </row>
    <row r="16" spans="1:5" x14ac:dyDescent="0.55000000000000004">
      <c r="A16" t="s">
        <v>136</v>
      </c>
      <c r="B16">
        <v>1737047</v>
      </c>
      <c r="C16">
        <v>1737047</v>
      </c>
      <c r="D16">
        <v>1737047</v>
      </c>
      <c r="E16">
        <f t="shared" si="0"/>
        <v>1737047</v>
      </c>
    </row>
    <row r="17" spans="1:5" x14ac:dyDescent="0.55000000000000004">
      <c r="A17" t="s">
        <v>137</v>
      </c>
      <c r="B17">
        <v>2474984</v>
      </c>
      <c r="C17">
        <v>2474984</v>
      </c>
      <c r="D17">
        <v>2474984</v>
      </c>
      <c r="E17">
        <f t="shared" si="0"/>
        <v>2474984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De Leon</dc:creator>
  <cp:lastModifiedBy>Dixin Tang</cp:lastModifiedBy>
  <dcterms:created xsi:type="dcterms:W3CDTF">2015-06-05T18:17:20Z</dcterms:created>
  <dcterms:modified xsi:type="dcterms:W3CDTF">2022-02-11T05:19:38Z</dcterms:modified>
</cp:coreProperties>
</file>